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 hidePivotFieldList="1"/>
  <mc:AlternateContent xmlns:mc="http://schemas.openxmlformats.org/markup-compatibility/2006">
    <mc:Choice Requires="x15">
      <x15ac:absPath xmlns:x15ac="http://schemas.microsoft.com/office/spreadsheetml/2010/11/ac" url="/Users/michaellynch/Downloads/"/>
    </mc:Choice>
  </mc:AlternateContent>
  <bookViews>
    <workbookView xWindow="320" yWindow="800" windowWidth="24560" windowHeight="13640" tabRatio="395"/>
  </bookViews>
  <sheets>
    <sheet name="Summary" sheetId="1" r:id="rId1"/>
    <sheet name="Statistics" sheetId="12" r:id="rId2"/>
    <sheet name="Entries" sheetId="9" r:id="rId3"/>
  </sheets>
  <definedNames>
    <definedName name="_xlnm._FilterDatabase" localSheetId="0" hidden="1">Summary!$A$2:$R$9</definedName>
    <definedName name="_xlnm.Print_Area" localSheetId="0">Summary!$A$1:$R$9</definedName>
    <definedName name="_xlnm.Print_Titles" localSheetId="0">Summary!$1:$2</definedName>
    <definedName name="Z_4229269A_8030_4BDC_8C87_610381BF8E3E_.wvu.FilterData" localSheetId="0" hidden="1">Summary!$A$2:$R$9</definedName>
    <definedName name="Z_4229269A_8030_4BDC_8C87_610381BF8E3E_.wvu.PrintArea" localSheetId="0" hidden="1">Summary!$A$2:$R$9</definedName>
    <definedName name="Z_6C5872A7_C3CE_4EF2_AE25_CDA2F2F9A6CE_.wvu.FilterData" localSheetId="0" hidden="1">Summary!$A$2:$R$9</definedName>
    <definedName name="Z_6C5872A7_C3CE_4EF2_AE25_CDA2F2F9A6CE_.wvu.PrintArea" localSheetId="0" hidden="1">Summary!$A$2:$R$9</definedName>
  </definedNames>
  <calcPr calcId="150001" concurrentCalc="0"/>
  <customWorkbookViews>
    <customWorkbookView name="  - Personal View" guid="{4229269A-8030-4BDC-8C87-610381BF8E3E}" mergeInterval="0" personalView="1" maximized="1" windowWidth="1276" windowHeight="557" tabRatio="469" activeSheetId="1"/>
    <customWorkbookView name="Kevin Archbold - Personal View" guid="{6C5872A7-C3CE-4EF2-AE25-CDA2F2F9A6CE}" mergeInterval="0" personalView="1" maximized="1" windowWidth="1340" windowHeight="874" tabRatio="225" activeSheetId="1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2" l="1"/>
  <c r="J1" i="1"/>
</calcChain>
</file>

<file path=xl/sharedStrings.xml><?xml version="1.0" encoding="utf-8"?>
<sst xmlns="http://schemas.openxmlformats.org/spreadsheetml/2006/main" count="210" uniqueCount="110">
  <si>
    <t>Project</t>
  </si>
  <si>
    <t>Comments</t>
  </si>
  <si>
    <t>Status</t>
  </si>
  <si>
    <t>Complete</t>
  </si>
  <si>
    <t>Priority</t>
  </si>
  <si>
    <t>Scope</t>
  </si>
  <si>
    <t>Time</t>
  </si>
  <si>
    <t>Cost</t>
  </si>
  <si>
    <t>Quality</t>
  </si>
  <si>
    <t>Risk</t>
  </si>
  <si>
    <t>PM</t>
  </si>
  <si>
    <t>Active</t>
  </si>
  <si>
    <t>Project is projected to complete before target completion date</t>
  </si>
  <si>
    <t>Project may not complete prior to completion date</t>
  </si>
  <si>
    <t>Charter has not been written and/or scope may be changing</t>
  </si>
  <si>
    <t>Project scope is unclear and/or is changing</t>
  </si>
  <si>
    <t>Project is forecast to meet cost requirements</t>
  </si>
  <si>
    <t>Project may not meet cost requirements</t>
  </si>
  <si>
    <t>Project is not expected to meet cost requirements</t>
  </si>
  <si>
    <t>Project is forecast to meet quality expectations</t>
  </si>
  <si>
    <t>There are challenges to project quality</t>
  </si>
  <si>
    <t>Original project quality expectations will not be meet</t>
  </si>
  <si>
    <t>Risks exist that could present a significant challenge to the project and/or a risk analysis has not been completed</t>
  </si>
  <si>
    <t>Project charter has been written. Scope is understood &amp; under control</t>
  </si>
  <si>
    <t>Risks are understood and planned for</t>
  </si>
  <si>
    <t>Project is forecast to complete after target completion date</t>
  </si>
  <si>
    <t>Project is being significantly impacted by a negative risk event</t>
  </si>
  <si>
    <t>Project is Complete</t>
  </si>
  <si>
    <t>Project Portfolio Summary Key</t>
  </si>
  <si>
    <t>Target_Comp_Date</t>
  </si>
  <si>
    <t>Num</t>
  </si>
  <si>
    <t>Forecast_Comp_Date</t>
  </si>
  <si>
    <t>Grand Total</t>
  </si>
  <si>
    <t>Start_date</t>
  </si>
  <si>
    <t>Project Portfolio Summary</t>
  </si>
  <si>
    <t>Internal/External</t>
  </si>
  <si>
    <t>On-hold</t>
  </si>
  <si>
    <t>Phase</t>
  </si>
  <si>
    <t>Design</t>
  </si>
  <si>
    <t>Project Managers</t>
  </si>
  <si>
    <t>Construction</t>
  </si>
  <si>
    <t>Close-out</t>
  </si>
  <si>
    <t>Feasibility</t>
  </si>
  <si>
    <t>Initiation</t>
  </si>
  <si>
    <t>Comment 1</t>
  </si>
  <si>
    <t>Comment 2</t>
  </si>
  <si>
    <t>Comment 3</t>
  </si>
  <si>
    <t>Comment 4</t>
  </si>
  <si>
    <t>Comment 5</t>
  </si>
  <si>
    <t>Comment 6</t>
  </si>
  <si>
    <t>Comment 7</t>
  </si>
  <si>
    <t>Category</t>
  </si>
  <si>
    <t>Categories</t>
  </si>
  <si>
    <t>Sales</t>
  </si>
  <si>
    <t>Other</t>
  </si>
  <si>
    <t>High</t>
  </si>
  <si>
    <t>Medium</t>
  </si>
  <si>
    <t>Low</t>
  </si>
  <si>
    <t>I</t>
  </si>
  <si>
    <t>E</t>
  </si>
  <si>
    <t>Row Labels</t>
  </si>
  <si>
    <t>Projects by Status</t>
  </si>
  <si>
    <t>Projects by Project Manager</t>
  </si>
  <si>
    <t>Projects by Phase</t>
  </si>
  <si>
    <t>JK</t>
  </si>
  <si>
    <t>James</t>
  </si>
  <si>
    <t>Kelly</t>
  </si>
  <si>
    <t>ML</t>
  </si>
  <si>
    <t>Michael</t>
  </si>
  <si>
    <t>Lynch</t>
  </si>
  <si>
    <t xml:space="preserve">Praveen </t>
  </si>
  <si>
    <t>Yadav</t>
  </si>
  <si>
    <t>PY</t>
  </si>
  <si>
    <t>DM</t>
  </si>
  <si>
    <t>Dylan</t>
  </si>
  <si>
    <t>Morris</t>
  </si>
  <si>
    <t>PG</t>
  </si>
  <si>
    <t xml:space="preserve">Palak </t>
  </si>
  <si>
    <t>Gathani</t>
  </si>
  <si>
    <t xml:space="preserve">Alessandro </t>
  </si>
  <si>
    <t>Vomero</t>
  </si>
  <si>
    <t>AV</t>
  </si>
  <si>
    <t>LP</t>
  </si>
  <si>
    <t>Lee</t>
  </si>
  <si>
    <t>Parker</t>
  </si>
  <si>
    <t>Economic Impact</t>
  </si>
  <si>
    <t>Strategic Alignment</t>
  </si>
  <si>
    <t>Increase Sales</t>
  </si>
  <si>
    <t>Decrease Expenses</t>
  </si>
  <si>
    <t>Expenses</t>
  </si>
  <si>
    <t>Productiveness</t>
  </si>
  <si>
    <t>Improve Productiveness</t>
  </si>
  <si>
    <t>Technology</t>
  </si>
  <si>
    <t>Innovative Technology</t>
  </si>
  <si>
    <t>Count</t>
  </si>
  <si>
    <t>Project by Category</t>
  </si>
  <si>
    <t>3D Parts Printing</t>
  </si>
  <si>
    <t>Web-Based Collaboration Application</t>
  </si>
  <si>
    <t>Augmented Reality Dashboard</t>
  </si>
  <si>
    <t>Smart Monitoring System</t>
  </si>
  <si>
    <t>Virtual Reality Retail Experience</t>
  </si>
  <si>
    <t>Artificial Intelligence</t>
  </si>
  <si>
    <t>Brain Computer Interface</t>
  </si>
  <si>
    <t>Quality/Productiveness</t>
  </si>
  <si>
    <t>Project by Priority</t>
  </si>
  <si>
    <t>On-Hold</t>
  </si>
  <si>
    <t>RISK</t>
  </si>
  <si>
    <t>COST</t>
  </si>
  <si>
    <t>TIME</t>
  </si>
  <si>
    <t>ECONOMIC 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</si>
</sst>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m/d/yy;@"/>
    <numFmt numFmtId="166" formatCode="_(* #,##0_);_(* \(#,##0\);_(* &quot;-&quot;??_);_(@_)"/>
    <numFmt numFmtId="167" formatCode="0.0"/>
    <numFmt numFmtId="168" formatCode="0.0000"/>
    <numFmt numFmtId="169" formatCode="0.00000"/>
  </numFmts>
  <fonts count="14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23"/>
      <name val="Arial"/>
      <family val="2"/>
    </font>
    <font>
      <b/>
      <i/>
      <sz val="12"/>
      <color indexed="9"/>
      <name val="Arial"/>
      <family val="2"/>
    </font>
    <font>
      <sz val="10"/>
      <name val="Arial"/>
    </font>
    <font>
      <sz val="11"/>
      <color rgb="FF006100"/>
      <name val="Calibri"/>
      <family val="2"/>
      <scheme val="minor"/>
    </font>
    <font>
      <sz val="12"/>
      <name val="Helvetica Light"/>
    </font>
  </fonts>
  <fills count="8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11" fillId="0" borderId="0" applyFont="0" applyFill="0" applyBorder="0" applyAlignment="0" applyProtection="0"/>
    <xf numFmtId="0" fontId="12" fillId="7" borderId="0" applyNumberFormat="0" applyBorder="0" applyAlignment="0" applyProtection="0"/>
  </cellStyleXfs>
  <cellXfs count="7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left" wrapText="1"/>
    </xf>
    <xf numFmtId="1" fontId="5" fillId="0" borderId="1" xfId="0" applyNumberFormat="1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7" fillId="0" borderId="0" xfId="0" applyFont="1"/>
    <xf numFmtId="0" fontId="8" fillId="2" borderId="1" xfId="0" applyFont="1" applyFill="1" applyBorder="1" applyAlignment="1">
      <alignment vertical="top" wrapText="1"/>
    </xf>
    <xf numFmtId="0" fontId="7" fillId="3" borderId="1" xfId="0" applyFont="1" applyFill="1" applyBorder="1" applyAlignment="1">
      <alignment vertical="top" wrapText="1"/>
    </xf>
    <xf numFmtId="0" fontId="8" fillId="4" borderId="1" xfId="0" applyFont="1" applyFill="1" applyBorder="1" applyAlignment="1">
      <alignment vertical="top" wrapText="1"/>
    </xf>
    <xf numFmtId="0" fontId="7" fillId="0" borderId="2" xfId="0" applyFont="1" applyBorder="1" applyAlignment="1">
      <alignment vertical="top"/>
    </xf>
    <xf numFmtId="0" fontId="8" fillId="2" borderId="3" xfId="0" applyFont="1" applyFill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7" fillId="0" borderId="4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8" fillId="2" borderId="6" xfId="0" applyFont="1" applyFill="1" applyBorder="1" applyAlignment="1">
      <alignment vertical="top" wrapText="1"/>
    </xf>
    <xf numFmtId="0" fontId="7" fillId="3" borderId="6" xfId="0" applyFont="1" applyFill="1" applyBorder="1" applyAlignment="1">
      <alignment vertical="top" wrapText="1"/>
    </xf>
    <xf numFmtId="0" fontId="8" fillId="4" borderId="3" xfId="0" applyFont="1" applyFill="1" applyBorder="1" applyAlignment="1">
      <alignment vertical="top" wrapText="1"/>
    </xf>
    <xf numFmtId="0" fontId="7" fillId="5" borderId="7" xfId="0" applyFont="1" applyFill="1" applyBorder="1" applyAlignment="1">
      <alignment vertical="top" wrapText="1"/>
    </xf>
    <xf numFmtId="0" fontId="8" fillId="4" borderId="6" xfId="0" applyFont="1" applyFill="1" applyBorder="1" applyAlignment="1">
      <alignment vertical="top" wrapText="1"/>
    </xf>
    <xf numFmtId="0" fontId="7" fillId="5" borderId="8" xfId="0" applyFont="1" applyFill="1" applyBorder="1" applyAlignment="1">
      <alignment vertical="top" wrapText="1"/>
    </xf>
    <xf numFmtId="0" fontId="7" fillId="5" borderId="9" xfId="0" applyFont="1" applyFill="1" applyBorder="1" applyAlignment="1">
      <alignment vertical="top" wrapText="1"/>
    </xf>
    <xf numFmtId="1" fontId="9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3" fillId="6" borderId="0" xfId="0" applyFont="1" applyFill="1" applyAlignment="1"/>
    <xf numFmtId="0" fontId="6" fillId="6" borderId="0" xfId="0" applyFont="1" applyFill="1" applyBorder="1" applyAlignment="1">
      <alignment horizontal="left" textRotation="90" wrapText="1"/>
    </xf>
    <xf numFmtId="0" fontId="6" fillId="6" borderId="0" xfId="0" applyFont="1" applyFill="1" applyBorder="1" applyAlignment="1">
      <alignment textRotation="45"/>
    </xf>
    <xf numFmtId="0" fontId="6" fillId="6" borderId="0" xfId="0" applyFont="1" applyFill="1" applyBorder="1" applyAlignment="1">
      <alignment textRotation="45" wrapText="1"/>
    </xf>
    <xf numFmtId="0" fontId="6" fillId="6" borderId="0" xfId="0" applyFont="1" applyFill="1" applyBorder="1" applyAlignment="1">
      <alignment horizontal="center" textRotation="90" wrapText="1"/>
    </xf>
    <xf numFmtId="0" fontId="6" fillId="6" borderId="0" xfId="0" applyFont="1" applyFill="1" applyBorder="1" applyAlignment="1">
      <alignment horizontal="center" textRotation="90"/>
    </xf>
    <xf numFmtId="165" fontId="1" fillId="0" borderId="10" xfId="0" applyNumberFormat="1" applyFont="1" applyBorder="1" applyAlignment="1">
      <alignment horizontal="left" vertical="center"/>
    </xf>
    <xf numFmtId="0" fontId="1" fillId="0" borderId="0" xfId="0" applyFont="1"/>
    <xf numFmtId="0" fontId="6" fillId="6" borderId="0" xfId="0" applyFont="1" applyFill="1" applyBorder="1" applyAlignment="1">
      <alignment horizontal="center" textRotation="45" wrapText="1"/>
    </xf>
    <xf numFmtId="165" fontId="1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1" fontId="12" fillId="7" borderId="1" xfId="2" applyNumberFormat="1" applyBorder="1" applyAlignment="1">
      <alignment horizontal="center" vertical="center" wrapText="1"/>
    </xf>
    <xf numFmtId="1" fontId="12" fillId="7" borderId="10" xfId="2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66" fontId="7" fillId="0" borderId="1" xfId="1" applyNumberFormat="1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wrapText="1"/>
    </xf>
    <xf numFmtId="0" fontId="10" fillId="6" borderId="14" xfId="0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left" wrapText="1"/>
    </xf>
    <xf numFmtId="0" fontId="0" fillId="6" borderId="15" xfId="0" applyFill="1" applyBorder="1"/>
    <xf numFmtId="0" fontId="6" fillId="6" borderId="12" xfId="0" applyFont="1" applyFill="1" applyBorder="1" applyAlignment="1">
      <alignment wrapText="1"/>
    </xf>
    <xf numFmtId="0" fontId="6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6" fillId="6" borderId="11" xfId="0" applyFont="1" applyFill="1" applyBorder="1" applyAlignment="1">
      <alignment textRotation="90"/>
    </xf>
    <xf numFmtId="165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left" vertical="center"/>
    </xf>
    <xf numFmtId="0" fontId="0" fillId="0" borderId="0" xfId="0" applyFont="1"/>
    <xf numFmtId="0" fontId="13" fillId="0" borderId="1" xfId="0" applyFont="1" applyBorder="1" applyAlignment="1">
      <alignment horizontal="left" vertical="center" indent="1"/>
    </xf>
    <xf numFmtId="167" fontId="12" fillId="7" borderId="1" xfId="2" applyNumberFormat="1" applyBorder="1" applyAlignment="1">
      <alignment horizontal="center" vertical="center" wrapText="1"/>
    </xf>
    <xf numFmtId="167" fontId="12" fillId="7" borderId="10" xfId="2" applyNumberFormat="1" applyBorder="1" applyAlignment="1">
      <alignment horizontal="center" vertical="center" wrapText="1"/>
    </xf>
    <xf numFmtId="168" fontId="12" fillId="7" borderId="1" xfId="2" applyNumberFormat="1" applyBorder="1" applyAlignment="1">
      <alignment horizontal="center" vertical="center" wrapText="1"/>
    </xf>
    <xf numFmtId="169" fontId="12" fillId="7" borderId="10" xfId="2" applyNumberFormat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wrapText="1"/>
    </xf>
    <xf numFmtId="14" fontId="10" fillId="6" borderId="14" xfId="0" applyNumberFormat="1" applyFont="1" applyFill="1" applyBorder="1" applyAlignment="1">
      <alignment horizontal="left" wrapText="1"/>
    </xf>
    <xf numFmtId="0" fontId="0" fillId="0" borderId="16" xfId="0" applyBorder="1"/>
    <xf numFmtId="0" fontId="7" fillId="0" borderId="16" xfId="0" applyFont="1" applyBorder="1"/>
    <xf numFmtId="0" fontId="0" fillId="0" borderId="16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 vertical="center" indent="1"/>
    </xf>
    <xf numFmtId="3" fontId="0" fillId="0" borderId="0" xfId="0" applyNumberFormat="1" applyBorder="1" applyAlignment="1">
      <alignment horizontal="left" wrapText="1"/>
    </xf>
    <xf numFmtId="0" fontId="0" fillId="0" borderId="13" xfId="0" applyFont="1" applyBorder="1" applyAlignment="1">
      <alignment horizontal="left" vertical="center" indent="1"/>
    </xf>
    <xf numFmtId="0" fontId="0" fillId="0" borderId="15" xfId="0" applyBorder="1"/>
    <xf numFmtId="0" fontId="0" fillId="0" borderId="11" xfId="0" applyFont="1" applyBorder="1" applyAlignment="1">
      <alignment horizontal="left" vertical="center" indent="1"/>
    </xf>
    <xf numFmtId="0" fontId="0" fillId="0" borderId="12" xfId="0" applyBorder="1"/>
    <xf numFmtId="0" fontId="0" fillId="0" borderId="17" xfId="0" applyFont="1" applyBorder="1" applyAlignment="1">
      <alignment horizontal="left" vertical="center" indent="1"/>
    </xf>
    <xf numFmtId="0" fontId="0" fillId="0" borderId="18" xfId="0" applyBorder="1"/>
  </cellXfs>
  <cellStyles count="3">
    <cellStyle name="Comma" xfId="1" builtinId="3"/>
    <cellStyle name="Good" xfId="2" builtinId="26"/>
    <cellStyle name="Normal" xfId="0" builtinId="0"/>
  </cellStyles>
  <dxfs count="11"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6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6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61"/>
        </patternFill>
      </fill>
    </dxf>
    <dxf>
      <font>
        <b/>
        <i val="0"/>
        <condense val="0"/>
        <extend val="0"/>
        <color indexed="9"/>
      </font>
      <fill>
        <patternFill>
          <bgColor indexed="54"/>
        </patternFill>
      </fill>
    </dxf>
    <dxf>
      <font>
        <b/>
        <i val="0"/>
        <condense val="0"/>
        <extend val="0"/>
        <color indexed="8"/>
      </font>
      <fill>
        <patternFill>
          <bgColor indexed="46"/>
        </patternFill>
      </fill>
    </dxf>
    <dxf>
      <font>
        <b/>
        <i val="0"/>
        <condense val="0"/>
        <extend val="0"/>
        <color indexed="9"/>
      </font>
      <fill>
        <patternFill>
          <bgColor indexed="61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60"/>
        </patternFill>
      </fill>
    </dxf>
  </dxfs>
  <tableStyles count="0" defaultTableStyle="TableStyleMedium9" defaultPivotStyle="PivotStyleLight16"/>
  <colors>
    <mruColors>
      <color rgb="FFFF9F9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Category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Statistics!$B$1:$B$2</c:f>
              <c:strCache>
                <c:ptCount val="2"/>
                <c:pt idx="0">
                  <c:v>Project by Category</c:v>
                </c:pt>
                <c:pt idx="1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Statistics!$A$3:$A$6</c:f>
              <c:strCache>
                <c:ptCount val="4"/>
                <c:pt idx="0">
                  <c:v>Sales</c:v>
                </c:pt>
                <c:pt idx="1">
                  <c:v>Expenses</c:v>
                </c:pt>
                <c:pt idx="2">
                  <c:v>Quality</c:v>
                </c:pt>
                <c:pt idx="3">
                  <c:v>Technology</c:v>
                </c:pt>
              </c:strCache>
            </c:strRef>
          </c:cat>
          <c:val>
            <c:numRef>
              <c:f>Statistics!$B$3:$B$6</c:f>
              <c:numCache>
                <c:formatCode>General</c:formatCode>
                <c:ptCount val="4"/>
                <c:pt idx="0">
                  <c:v>2.0</c:v>
                </c:pt>
                <c:pt idx="1">
                  <c:v>1.0</c:v>
                </c:pt>
                <c:pt idx="2">
                  <c:v>1.0</c:v>
                </c:pt>
                <c:pt idx="3">
                  <c:v>3.0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Priority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Statistics!$B$10:$B$11</c:f>
              <c:strCache>
                <c:ptCount val="2"/>
                <c:pt idx="0">
                  <c:v>Project by Priority</c:v>
                </c:pt>
                <c:pt idx="1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Statistics!$A$12:$A$14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Statistics!$B$12:$B$14</c:f>
              <c:numCache>
                <c:formatCode>General</c:formatCode>
                <c:ptCount val="3"/>
                <c:pt idx="0">
                  <c:v>2.0</c:v>
                </c:pt>
                <c:pt idx="1">
                  <c:v>3.0</c:v>
                </c:pt>
                <c:pt idx="2">
                  <c:v>2.0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Statistics!$B$18:$B$19</c:f>
              <c:strCache>
                <c:ptCount val="2"/>
                <c:pt idx="0">
                  <c:v>Projects by Status</c:v>
                </c:pt>
                <c:pt idx="1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Statistics!$A$20:$A$22</c:f>
              <c:strCache>
                <c:ptCount val="2"/>
                <c:pt idx="0">
                  <c:v>Active</c:v>
                </c:pt>
                <c:pt idx="1">
                  <c:v>On-Hold</c:v>
                </c:pt>
              </c:strCache>
            </c:strRef>
          </c:cat>
          <c:val>
            <c:numRef>
              <c:f>Statistics!$B$20:$B$22</c:f>
              <c:numCache>
                <c:formatCode>General</c:formatCode>
                <c:ptCount val="3"/>
                <c:pt idx="0">
                  <c:v>5.0</c:v>
                </c:pt>
                <c:pt idx="1">
                  <c:v>2.0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Project Manager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Statistics!$B$24:$B$25</c:f>
              <c:strCache>
                <c:ptCount val="2"/>
                <c:pt idx="0">
                  <c:v>Projects by Project Manager</c:v>
                </c:pt>
                <c:pt idx="1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Statistics!$A$26:$A$32</c:f>
              <c:strCache>
                <c:ptCount val="7"/>
                <c:pt idx="0">
                  <c:v>JK</c:v>
                </c:pt>
                <c:pt idx="1">
                  <c:v>ML</c:v>
                </c:pt>
                <c:pt idx="2">
                  <c:v>PY</c:v>
                </c:pt>
                <c:pt idx="3">
                  <c:v>DM</c:v>
                </c:pt>
                <c:pt idx="4">
                  <c:v>PG</c:v>
                </c:pt>
                <c:pt idx="5">
                  <c:v>AV</c:v>
                </c:pt>
                <c:pt idx="6">
                  <c:v>LP</c:v>
                </c:pt>
              </c:strCache>
            </c:strRef>
          </c:cat>
          <c:val>
            <c:numRef>
              <c:f>Statistics!$B$26:$B$32</c:f>
              <c:numCache>
                <c:formatCode>General</c:formatCode>
                <c:ptCount val="7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Phase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Statistics!$B$35:$B$36</c:f>
              <c:strCache>
                <c:ptCount val="2"/>
                <c:pt idx="0">
                  <c:v>Projects by Phase</c:v>
                </c:pt>
                <c:pt idx="1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Statistics!$A$37:$A$40</c:f>
              <c:strCache>
                <c:ptCount val="4"/>
                <c:pt idx="0">
                  <c:v>Feasibility</c:v>
                </c:pt>
                <c:pt idx="1">
                  <c:v>Initiation</c:v>
                </c:pt>
                <c:pt idx="2">
                  <c:v>Design</c:v>
                </c:pt>
                <c:pt idx="3">
                  <c:v>Construction</c:v>
                </c:pt>
              </c:strCache>
            </c:strRef>
          </c:cat>
          <c:val>
            <c:numRef>
              <c:f>Statistics!$B$37:$B$40</c:f>
              <c:numCache>
                <c:formatCode>General</c:formatCode>
                <c:ptCount val="4"/>
                <c:pt idx="0">
                  <c:v>3.0</c:v>
                </c:pt>
                <c:pt idx="1">
                  <c:v>2.0</c:v>
                </c:pt>
                <c:pt idx="2">
                  <c:v>1.0</c:v>
                </c:pt>
                <c:pt idx="3">
                  <c:v>1.0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STRATEGIC ALIGNMENT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Statistics!$B$45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Statistics!$A$46:$A$52</c:f>
              <c:strCache>
                <c:ptCount val="7"/>
                <c:pt idx="0">
                  <c:v>3D Parts Printing</c:v>
                </c:pt>
                <c:pt idx="1">
                  <c:v>Web-Based Collaboration Application</c:v>
                </c:pt>
                <c:pt idx="2">
                  <c:v>Augmented Reality Dashboard</c:v>
                </c:pt>
                <c:pt idx="3">
                  <c:v>Smart Monitoring System</c:v>
                </c:pt>
                <c:pt idx="4">
                  <c:v>Virtual Reality Retail Experience</c:v>
                </c:pt>
                <c:pt idx="5">
                  <c:v>Artificial Intelligence</c:v>
                </c:pt>
                <c:pt idx="6">
                  <c:v>Brain Computer Interface</c:v>
                </c:pt>
              </c:strCache>
            </c:strRef>
          </c:cat>
          <c:val>
            <c:numRef>
              <c:f>Statistics!$B$46:$B$52</c:f>
              <c:numCache>
                <c:formatCode>General</c:formatCode>
                <c:ptCount val="7"/>
                <c:pt idx="0">
                  <c:v>1.5</c:v>
                </c:pt>
                <c:pt idx="1">
                  <c:v>1.3</c:v>
                </c:pt>
                <c:pt idx="2">
                  <c:v>1.4</c:v>
                </c:pt>
                <c:pt idx="3">
                  <c:v>1.2</c:v>
                </c:pt>
                <c:pt idx="4">
                  <c:v>1.4</c:v>
                </c:pt>
                <c:pt idx="5">
                  <c:v>1.7</c:v>
                </c:pt>
                <c:pt idx="6">
                  <c:v>1.2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79798832"/>
        <c:axId val="-2065255824"/>
      </c:barChart>
      <c:catAx>
        <c:axId val="-207979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255824"/>
        <c:crosses val="autoZero"/>
        <c:auto val="1"/>
        <c:lblAlgn val="ctr"/>
        <c:lblOffset val="100"/>
        <c:noMultiLvlLbl val="0"/>
      </c:catAx>
      <c:valAx>
        <c:axId val="-20652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979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Statistics!$B$58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Statistics!$A$59:$A$65</c:f>
              <c:strCache>
                <c:ptCount val="7"/>
                <c:pt idx="0">
                  <c:v>3D Parts Printing</c:v>
                </c:pt>
                <c:pt idx="1">
                  <c:v>Web-Based Collaboration Application</c:v>
                </c:pt>
                <c:pt idx="2">
                  <c:v>Augmented Reality Dashboard</c:v>
                </c:pt>
                <c:pt idx="3">
                  <c:v>Smart Monitoring System</c:v>
                </c:pt>
                <c:pt idx="4">
                  <c:v>Virtual Reality Retail Experience</c:v>
                </c:pt>
                <c:pt idx="5">
                  <c:v>Artificial Intelligence</c:v>
                </c:pt>
                <c:pt idx="6">
                  <c:v>Brain Computer Interface</c:v>
                </c:pt>
              </c:strCache>
            </c:strRef>
          </c:cat>
          <c:val>
            <c:numRef>
              <c:f>Statistics!$B$59:$B$65</c:f>
              <c:numCache>
                <c:formatCode>General</c:formatCode>
                <c:ptCount val="7"/>
                <c:pt idx="0">
                  <c:v>1.6</c:v>
                </c:pt>
                <c:pt idx="1">
                  <c:v>2.2</c:v>
                </c:pt>
                <c:pt idx="2">
                  <c:v>1.3</c:v>
                </c:pt>
                <c:pt idx="3">
                  <c:v>1.95</c:v>
                </c:pt>
                <c:pt idx="4">
                  <c:v>0.95</c:v>
                </c:pt>
                <c:pt idx="5">
                  <c:v>0.8</c:v>
                </c:pt>
                <c:pt idx="6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64584688"/>
        <c:axId val="-2043139152"/>
      </c:barChart>
      <c:catAx>
        <c:axId val="-206458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39152"/>
        <c:crosses val="autoZero"/>
        <c:auto val="1"/>
        <c:lblAlgn val="ctr"/>
        <c:lblOffset val="100"/>
        <c:noMultiLvlLbl val="0"/>
      </c:catAx>
      <c:valAx>
        <c:axId val="-2043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458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(IN BILLIONS)</a:t>
            </a:r>
          </a:p>
        </c:rich>
      </c:tx>
      <c:layout>
        <c:manualLayout>
          <c:xMode val="edge"/>
          <c:yMode val="edge"/>
          <c:x val="0.344754272700906"/>
          <c:y val="0.0500227376080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Statistics!$B$69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Statistics!$A$70:$A$76</c:f>
              <c:strCache>
                <c:ptCount val="7"/>
                <c:pt idx="0">
                  <c:v>3D Parts Printing</c:v>
                </c:pt>
                <c:pt idx="1">
                  <c:v>Web-Based Collaboration Application</c:v>
                </c:pt>
                <c:pt idx="2">
                  <c:v>Augmented Reality Dashboard</c:v>
                </c:pt>
                <c:pt idx="3">
                  <c:v>Smart Monitoring System</c:v>
                </c:pt>
                <c:pt idx="4">
                  <c:v>Virtual Reality Retail Experience</c:v>
                </c:pt>
                <c:pt idx="5">
                  <c:v>Artificial Intelligence</c:v>
                </c:pt>
                <c:pt idx="6">
                  <c:v>Brain Computer Interface</c:v>
                </c:pt>
              </c:strCache>
            </c:strRef>
          </c:cat>
          <c:val>
            <c:numRef>
              <c:f>Statistics!$B$70:$B$76</c:f>
              <c:numCache>
                <c:formatCode>General</c:formatCode>
                <c:ptCount val="7"/>
                <c:pt idx="0">
                  <c:v>15.3</c:v>
                </c:pt>
                <c:pt idx="1">
                  <c:v>0.0005</c:v>
                </c:pt>
                <c:pt idx="2">
                  <c:v>9.2</c:v>
                </c:pt>
                <c:pt idx="3">
                  <c:v>0.00125</c:v>
                </c:pt>
                <c:pt idx="4">
                  <c:v>10.0</c:v>
                </c:pt>
                <c:pt idx="5">
                  <c:v>13.7</c:v>
                </c:pt>
                <c:pt idx="6">
                  <c:v>25.0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42473616"/>
        <c:axId val="-2042694512"/>
      </c:barChart>
      <c:catAx>
        <c:axId val="-204247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2694512"/>
        <c:crosses val="autoZero"/>
        <c:auto val="1"/>
        <c:lblAlgn val="ctr"/>
        <c:lblOffset val="100"/>
        <c:noMultiLvlLbl val="0"/>
      </c:catAx>
      <c:valAx>
        <c:axId val="-20426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24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COMPLETE (IN YEARS)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Statistics!$B$78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Statistics!$A$79:$A$85</c:f>
              <c:strCache>
                <c:ptCount val="7"/>
                <c:pt idx="0">
                  <c:v>3D Parts Printing</c:v>
                </c:pt>
                <c:pt idx="1">
                  <c:v>Web-Based Collaboration Application</c:v>
                </c:pt>
                <c:pt idx="2">
                  <c:v>Augmented Reality Dashboard</c:v>
                </c:pt>
                <c:pt idx="3">
                  <c:v>Smart Monitoring System</c:v>
                </c:pt>
                <c:pt idx="4">
                  <c:v>Virtual Reality Retail Experience</c:v>
                </c:pt>
                <c:pt idx="5">
                  <c:v>Artificial Intelligence</c:v>
                </c:pt>
                <c:pt idx="6">
                  <c:v>Brain Computer Interface</c:v>
                </c:pt>
              </c:strCache>
            </c:strRef>
          </c:cat>
          <c:val>
            <c:numRef>
              <c:f>Statistics!$B$79:$B$85</c:f>
              <c:numCache>
                <c:formatCode>General</c:formatCode>
                <c:ptCount val="7"/>
                <c:pt idx="0">
                  <c:v>5.0</c:v>
                </c:pt>
                <c:pt idx="1">
                  <c:v>0.5</c:v>
                </c:pt>
                <c:pt idx="2">
                  <c:v>1.0</c:v>
                </c:pt>
                <c:pt idx="3">
                  <c:v>1.0</c:v>
                </c:pt>
                <c:pt idx="4">
                  <c:v>3.0</c:v>
                </c:pt>
                <c:pt idx="5">
                  <c:v>5.0</c:v>
                </c:pt>
                <c:pt idx="6">
                  <c:v>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65822832"/>
        <c:axId val="-2078606912"/>
      </c:barChart>
      <c:catAx>
        <c:axId val="-206582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8606912"/>
        <c:crosses val="autoZero"/>
        <c:auto val="1"/>
        <c:lblAlgn val="ctr"/>
        <c:lblOffset val="100"/>
        <c:noMultiLvlLbl val="0"/>
      </c:catAx>
      <c:valAx>
        <c:axId val="-2078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82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ECONOMIC IMPACT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Statistics!$B$88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Statistics!$A$89:$A$95</c:f>
              <c:strCache>
                <c:ptCount val="7"/>
                <c:pt idx="0">
                  <c:v>3D Parts Printing</c:v>
                </c:pt>
                <c:pt idx="1">
                  <c:v>Web-Based Collaboration Application</c:v>
                </c:pt>
                <c:pt idx="2">
                  <c:v>Augmented Reality Dashboard</c:v>
                </c:pt>
                <c:pt idx="3">
                  <c:v>Smart Monitoring System</c:v>
                </c:pt>
                <c:pt idx="4">
                  <c:v>Virtual Reality Retail Experience</c:v>
                </c:pt>
                <c:pt idx="5">
                  <c:v>Artificial Intelligence</c:v>
                </c:pt>
                <c:pt idx="6">
                  <c:v>Brain Computer Interface</c:v>
                </c:pt>
              </c:strCache>
            </c:strRef>
          </c:cat>
          <c:val>
            <c:numRef>
              <c:f>Statistics!$B$89:$B$95</c:f>
              <c:numCache>
                <c:formatCode>General</c:formatCode>
                <c:ptCount val="7"/>
                <c:pt idx="0">
                  <c:v>1.45</c:v>
                </c:pt>
                <c:pt idx="1">
                  <c:v>0.85</c:v>
                </c:pt>
                <c:pt idx="2">
                  <c:v>1.6</c:v>
                </c:pt>
                <c:pt idx="3">
                  <c:v>0.85</c:v>
                </c:pt>
                <c:pt idx="4">
                  <c:v>1.3</c:v>
                </c:pt>
                <c:pt idx="5">
                  <c:v>1.3</c:v>
                </c:pt>
                <c:pt idx="6">
                  <c:v>0.75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12972944"/>
        <c:axId val="-2041710176"/>
      </c:barChart>
      <c:catAx>
        <c:axId val="-201297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1710176"/>
        <c:crosses val="autoZero"/>
        <c:auto val="1"/>
        <c:lblAlgn val="ctr"/>
        <c:lblOffset val="100"/>
        <c:noMultiLvlLbl val="0"/>
      </c:catAx>
      <c:valAx>
        <c:axId val="-204171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297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9</xdr:row>
      <xdr:rowOff>0</xdr:rowOff>
    </xdr:from>
    <xdr:to>
      <xdr:col>1</xdr:col>
      <xdr:colOff>171450</xdr:colOff>
      <xdr:row>10</xdr:row>
      <xdr:rowOff>61912</xdr:rowOff>
    </xdr:to>
    <xdr:sp macro="" textlink="">
      <xdr:nvSpPr>
        <xdr:cNvPr id="1109" name="Text Box 2"/>
        <xdr:cNvSpPr txBox="1">
          <a:spLocks noChangeArrowheads="1"/>
        </xdr:cNvSpPr>
      </xdr:nvSpPr>
      <xdr:spPr bwMode="auto">
        <a:xfrm>
          <a:off x="361950" y="16859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17</xdr:col>
      <xdr:colOff>5572125</xdr:colOff>
      <xdr:row>9</xdr:row>
      <xdr:rowOff>0</xdr:rowOff>
    </xdr:from>
    <xdr:to>
      <xdr:col>17</xdr:col>
      <xdr:colOff>5662612</xdr:colOff>
      <xdr:row>10</xdr:row>
      <xdr:rowOff>69850</xdr:rowOff>
    </xdr:to>
    <xdr:sp macro="" textlink="">
      <xdr:nvSpPr>
        <xdr:cNvPr id="1112" name="Text Box 5"/>
        <xdr:cNvSpPr txBox="1">
          <a:spLocks noChangeArrowheads="1"/>
        </xdr:cNvSpPr>
      </xdr:nvSpPr>
      <xdr:spPr bwMode="auto">
        <a:xfrm>
          <a:off x="13049250" y="5286375"/>
          <a:ext cx="90487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59532</xdr:colOff>
      <xdr:row>0</xdr:row>
      <xdr:rowOff>226218</xdr:rowOff>
    </xdr:from>
    <xdr:to>
      <xdr:col>1</xdr:col>
      <xdr:colOff>2291636</xdr:colOff>
      <xdr:row>1</xdr:row>
      <xdr:rowOff>583405</xdr:rowOff>
    </xdr:to>
    <xdr:pic>
      <xdr:nvPicPr>
        <xdr:cNvPr id="7" name="Picture 6" descr="Logo - New colors - Medium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282" y="226218"/>
          <a:ext cx="2232104" cy="7262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0</xdr:row>
      <xdr:rowOff>95250</xdr:rowOff>
    </xdr:from>
    <xdr:to>
      <xdr:col>8</xdr:col>
      <xdr:colOff>114300</xdr:colOff>
      <xdr:row>19</xdr:row>
      <xdr:rowOff>12700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355599</xdr:colOff>
      <xdr:row>0</xdr:row>
      <xdr:rowOff>114300</xdr:rowOff>
    </xdr:from>
    <xdr:to>
      <xdr:col>14</xdr:col>
      <xdr:colOff>3118</xdr:colOff>
      <xdr:row>18</xdr:row>
      <xdr:rowOff>88900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577850</xdr:colOff>
      <xdr:row>19</xdr:row>
      <xdr:rowOff>82550</xdr:rowOff>
    </xdr:from>
    <xdr:to>
      <xdr:col>8</xdr:col>
      <xdr:colOff>196850</xdr:colOff>
      <xdr:row>36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374650</xdr:colOff>
      <xdr:row>19</xdr:row>
      <xdr:rowOff>95250</xdr:rowOff>
    </xdr:from>
    <xdr:to>
      <xdr:col>13</xdr:col>
      <xdr:colOff>819150</xdr:colOff>
      <xdr:row>36</xdr:row>
      <xdr:rowOff>31750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577850</xdr:colOff>
      <xdr:row>36</xdr:row>
      <xdr:rowOff>120650</xdr:rowOff>
    </xdr:from>
    <xdr:to>
      <xdr:col>8</xdr:col>
      <xdr:colOff>196850</xdr:colOff>
      <xdr:row>53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444500</xdr:colOff>
      <xdr:row>37</xdr:row>
      <xdr:rowOff>44450</xdr:rowOff>
    </xdr:from>
    <xdr:to>
      <xdr:col>14</xdr:col>
      <xdr:colOff>63500</xdr:colOff>
      <xdr:row>53</xdr:row>
      <xdr:rowOff>146050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419100</xdr:colOff>
      <xdr:row>56</xdr:row>
      <xdr:rowOff>120650</xdr:rowOff>
    </xdr:from>
    <xdr:to>
      <xdr:col>8</xdr:col>
      <xdr:colOff>38100</xdr:colOff>
      <xdr:row>73</xdr:row>
      <xdr:rowOff>57150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476250</xdr:colOff>
      <xdr:row>56</xdr:row>
      <xdr:rowOff>95250</xdr:rowOff>
    </xdr:from>
    <xdr:to>
      <xdr:col>14</xdr:col>
      <xdr:colOff>177800</xdr:colOff>
      <xdr:row>73</xdr:row>
      <xdr:rowOff>81280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444500</xdr:colOff>
      <xdr:row>75</xdr:row>
      <xdr:rowOff>19050</xdr:rowOff>
    </xdr:from>
    <xdr:to>
      <xdr:col>8</xdr:col>
      <xdr:colOff>63500</xdr:colOff>
      <xdr:row>91</xdr:row>
      <xdr:rowOff>120650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247650</xdr:colOff>
      <xdr:row>75</xdr:row>
      <xdr:rowOff>19050</xdr:rowOff>
    </xdr:from>
    <xdr:to>
      <xdr:col>13</xdr:col>
      <xdr:colOff>692150</xdr:colOff>
      <xdr:row>91</xdr:row>
      <xdr:rowOff>120650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4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2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autoPageBreaks="0" fitToPage="1"/>
  </sheetPr>
  <dimension ref="A1:MT24"/>
  <sheetViews>
    <sheetView tabSelected="1" zoomScale="80" zoomScaleNormal="80" zoomScalePageLayoutView="80" workbookViewId="0">
      <pane ySplit="2" topLeftCell="A3" activePane="bottomLeft" state="frozenSplit"/>
      <selection pane="bottomLeft" activeCell="Q13" sqref="Q13"/>
    </sheetView>
  </sheetViews>
  <sheetFormatPr baseColWidth="10" defaultColWidth="8.83203125" defaultRowHeight="13" x14ac:dyDescent="0.15"/>
  <cols>
    <col min="1" max="1" width="4.33203125" style="2" customWidth="1"/>
    <col min="2" max="2" width="38.33203125" style="1" customWidth="1"/>
    <col min="3" max="3" width="6.6640625" style="36" bestFit="1" customWidth="1"/>
    <col min="4" max="4" width="8.6640625" style="1" customWidth="1"/>
    <col min="5" max="5" width="8.6640625" style="4" customWidth="1"/>
    <col min="6" max="6" width="8.6640625" style="5" customWidth="1"/>
    <col min="7" max="7" width="12.5" style="5" customWidth="1"/>
    <col min="8" max="8" width="10.83203125" style="5" bestFit="1" customWidth="1"/>
    <col min="9" max="9" width="3.5" style="41" bestFit="1" customWidth="1"/>
    <col min="10" max="11" width="3.5" style="5" customWidth="1"/>
    <col min="12" max="12" width="6.33203125" style="5" customWidth="1"/>
    <col min="13" max="14" width="7.5" style="5" customWidth="1"/>
    <col min="15" max="15" width="9.33203125" style="5" customWidth="1"/>
    <col min="16" max="17" width="7.5" style="5" customWidth="1"/>
    <col min="18" max="18" width="85.6640625" bestFit="1" customWidth="1"/>
  </cols>
  <sheetData>
    <row r="1" spans="1:358" ht="29.25" customHeight="1" x14ac:dyDescent="0.2">
      <c r="A1" s="42"/>
      <c r="B1" s="43"/>
      <c r="C1" s="59" t="s">
        <v>34</v>
      </c>
      <c r="D1" s="59"/>
      <c r="E1" s="59"/>
      <c r="F1" s="59"/>
      <c r="G1" s="59"/>
      <c r="H1" s="59"/>
      <c r="I1" s="44"/>
      <c r="J1" s="60">
        <f ca="1">TODAY()</f>
        <v>42863</v>
      </c>
      <c r="K1" s="60"/>
      <c r="L1" s="60"/>
      <c r="M1" s="60"/>
      <c r="N1" s="60"/>
      <c r="O1" s="60"/>
      <c r="P1" s="45"/>
      <c r="Q1" s="45"/>
      <c r="R1" s="46"/>
      <c r="S1" s="25"/>
      <c r="T1" s="25"/>
      <c r="U1" s="25"/>
      <c r="V1" s="25"/>
      <c r="W1" s="25"/>
      <c r="X1" s="25"/>
      <c r="Y1" s="25"/>
    </row>
    <row r="2" spans="1:358" s="26" customFormat="1" ht="103.5" customHeight="1" x14ac:dyDescent="0.15">
      <c r="A2" s="50" t="s">
        <v>30</v>
      </c>
      <c r="B2" s="28" t="s">
        <v>0</v>
      </c>
      <c r="C2" s="34" t="s">
        <v>10</v>
      </c>
      <c r="D2" s="29" t="s">
        <v>33</v>
      </c>
      <c r="E2" s="29" t="s">
        <v>29</v>
      </c>
      <c r="F2" s="29" t="s">
        <v>31</v>
      </c>
      <c r="G2" s="29" t="s">
        <v>51</v>
      </c>
      <c r="H2" s="30" t="s">
        <v>2</v>
      </c>
      <c r="I2" s="30" t="s">
        <v>37</v>
      </c>
      <c r="J2" s="30" t="s">
        <v>35</v>
      </c>
      <c r="K2" s="27" t="s">
        <v>4</v>
      </c>
      <c r="L2" s="27" t="s">
        <v>86</v>
      </c>
      <c r="M2" s="31" t="s">
        <v>85</v>
      </c>
      <c r="N2" s="30" t="s">
        <v>6</v>
      </c>
      <c r="O2" s="30" t="s">
        <v>7</v>
      </c>
      <c r="P2" s="30" t="s">
        <v>8</v>
      </c>
      <c r="Q2" s="30" t="s">
        <v>9</v>
      </c>
      <c r="R2" s="47" t="s">
        <v>1</v>
      </c>
      <c r="S2" s="25"/>
      <c r="T2" s="25"/>
      <c r="U2" s="25"/>
      <c r="V2" s="25"/>
      <c r="W2" s="25"/>
      <c r="X2" s="25"/>
      <c r="Y2" s="25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</row>
    <row r="3" spans="1:358" s="25" customFormat="1" ht="30" customHeight="1" x14ac:dyDescent="0.15">
      <c r="A3" s="48">
        <v>1</v>
      </c>
      <c r="B3" s="54" t="s">
        <v>96</v>
      </c>
      <c r="C3" s="51" t="s">
        <v>64</v>
      </c>
      <c r="D3" s="52">
        <v>42864</v>
      </c>
      <c r="E3" s="32">
        <v>44318</v>
      </c>
      <c r="F3" s="32">
        <v>44318</v>
      </c>
      <c r="G3" s="52" t="s">
        <v>89</v>
      </c>
      <c r="H3" s="7" t="s">
        <v>11</v>
      </c>
      <c r="I3" s="40">
        <v>1</v>
      </c>
      <c r="J3" s="24" t="s">
        <v>58</v>
      </c>
      <c r="K3" s="6">
        <v>2</v>
      </c>
      <c r="L3" s="55">
        <v>1.5</v>
      </c>
      <c r="M3" s="55">
        <v>1.4500000000000002</v>
      </c>
      <c r="N3" s="37">
        <v>5</v>
      </c>
      <c r="O3" s="55">
        <v>15.3</v>
      </c>
      <c r="P3" s="55">
        <v>1.85</v>
      </c>
      <c r="Q3" s="55">
        <v>1.6000000000000003</v>
      </c>
      <c r="R3" s="49" t="s">
        <v>44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</row>
    <row r="4" spans="1:358" s="25" customFormat="1" ht="30" customHeight="1" x14ac:dyDescent="0.15">
      <c r="A4" s="48">
        <v>2</v>
      </c>
      <c r="B4" s="54" t="s">
        <v>97</v>
      </c>
      <c r="C4" s="35" t="s">
        <v>72</v>
      </c>
      <c r="D4" s="52">
        <v>42856</v>
      </c>
      <c r="E4" s="32">
        <v>43070</v>
      </c>
      <c r="F4" s="32">
        <v>43071</v>
      </c>
      <c r="G4" s="32" t="s">
        <v>90</v>
      </c>
      <c r="H4" s="7" t="s">
        <v>11</v>
      </c>
      <c r="I4" s="40">
        <v>4</v>
      </c>
      <c r="J4" s="24" t="s">
        <v>58</v>
      </c>
      <c r="K4" s="6">
        <v>1</v>
      </c>
      <c r="L4" s="55">
        <v>1.3</v>
      </c>
      <c r="M4" s="55">
        <v>0.85000000000000009</v>
      </c>
      <c r="N4" s="37">
        <v>0.5</v>
      </c>
      <c r="O4" s="57">
        <v>5.0000000000000001E-4</v>
      </c>
      <c r="P4" s="55">
        <v>1.7500000000000002</v>
      </c>
      <c r="Q4" s="55">
        <v>2.2000000000000002</v>
      </c>
      <c r="R4" s="49" t="s">
        <v>45</v>
      </c>
    </row>
    <row r="5" spans="1:358" s="25" customFormat="1" ht="30" customHeight="1" x14ac:dyDescent="0.15">
      <c r="A5" s="48">
        <v>3</v>
      </c>
      <c r="B5" s="54" t="s">
        <v>98</v>
      </c>
      <c r="C5" s="35" t="s">
        <v>67</v>
      </c>
      <c r="D5" s="52">
        <v>42856</v>
      </c>
      <c r="E5" s="32">
        <v>43222</v>
      </c>
      <c r="F5" s="32">
        <v>43223</v>
      </c>
      <c r="G5" s="32" t="s">
        <v>53</v>
      </c>
      <c r="H5" s="7" t="s">
        <v>11</v>
      </c>
      <c r="I5" s="40">
        <v>2</v>
      </c>
      <c r="J5" s="24" t="s">
        <v>58</v>
      </c>
      <c r="K5" s="6">
        <v>2</v>
      </c>
      <c r="L5" s="55">
        <v>1.4000000000000001</v>
      </c>
      <c r="M5" s="55">
        <v>1.6</v>
      </c>
      <c r="N5" s="37">
        <v>1</v>
      </c>
      <c r="O5" s="55">
        <v>9.1999999999999993</v>
      </c>
      <c r="P5" s="56">
        <v>1.6500000000000004</v>
      </c>
      <c r="Q5" s="55">
        <v>1.3</v>
      </c>
      <c r="R5" s="49" t="s">
        <v>46</v>
      </c>
    </row>
    <row r="6" spans="1:358" s="25" customFormat="1" ht="30" customHeight="1" x14ac:dyDescent="0.15">
      <c r="A6" s="48">
        <v>4</v>
      </c>
      <c r="B6" s="54" t="s">
        <v>99</v>
      </c>
      <c r="C6" s="35" t="s">
        <v>73</v>
      </c>
      <c r="D6" s="52">
        <v>42867</v>
      </c>
      <c r="E6" s="32">
        <v>43222</v>
      </c>
      <c r="F6" s="32">
        <v>43223</v>
      </c>
      <c r="G6" s="32" t="s">
        <v>92</v>
      </c>
      <c r="H6" s="7" t="s">
        <v>11</v>
      </c>
      <c r="I6" s="40">
        <v>3</v>
      </c>
      <c r="J6" s="24" t="s">
        <v>58</v>
      </c>
      <c r="K6" s="6">
        <v>1</v>
      </c>
      <c r="L6" s="56">
        <v>1.2000000000000002</v>
      </c>
      <c r="M6" s="56">
        <v>0.85000000000000009</v>
      </c>
      <c r="N6" s="38">
        <v>1</v>
      </c>
      <c r="O6" s="58">
        <v>1.25E-3</v>
      </c>
      <c r="P6" s="56">
        <v>1.6500000000000004</v>
      </c>
      <c r="Q6" s="56">
        <v>1.9500000000000002</v>
      </c>
      <c r="R6" s="49" t="s">
        <v>47</v>
      </c>
    </row>
    <row r="7" spans="1:358" s="25" customFormat="1" ht="30" customHeight="1" x14ac:dyDescent="0.15">
      <c r="A7" s="48">
        <v>5</v>
      </c>
      <c r="B7" s="54" t="s">
        <v>100</v>
      </c>
      <c r="C7" s="35" t="s">
        <v>76</v>
      </c>
      <c r="D7" s="52">
        <v>42868</v>
      </c>
      <c r="E7" s="32">
        <v>43953</v>
      </c>
      <c r="F7" s="32">
        <v>43954</v>
      </c>
      <c r="G7" s="32" t="s">
        <v>53</v>
      </c>
      <c r="H7" s="7" t="s">
        <v>11</v>
      </c>
      <c r="I7" s="40">
        <v>2</v>
      </c>
      <c r="J7" s="24" t="s">
        <v>58</v>
      </c>
      <c r="K7" s="6">
        <v>2</v>
      </c>
      <c r="L7" s="55">
        <v>1.4000000000000001</v>
      </c>
      <c r="M7" s="55">
        <v>1.3</v>
      </c>
      <c r="N7" s="37">
        <v>3</v>
      </c>
      <c r="O7" s="55">
        <v>10</v>
      </c>
      <c r="P7" s="55">
        <v>1.5500000000000003</v>
      </c>
      <c r="Q7" s="55">
        <v>0.95000000000000007</v>
      </c>
      <c r="R7" s="49" t="s">
        <v>48</v>
      </c>
    </row>
    <row r="8" spans="1:358" s="25" customFormat="1" ht="30" customHeight="1" x14ac:dyDescent="0.15">
      <c r="A8" s="48">
        <v>6</v>
      </c>
      <c r="B8" s="54" t="s">
        <v>101</v>
      </c>
      <c r="C8" s="35" t="s">
        <v>82</v>
      </c>
      <c r="D8" s="52">
        <v>42935</v>
      </c>
      <c r="E8" s="32">
        <v>44318</v>
      </c>
      <c r="F8" s="32">
        <v>44318</v>
      </c>
      <c r="G8" s="32" t="s">
        <v>92</v>
      </c>
      <c r="H8" s="7" t="s">
        <v>36</v>
      </c>
      <c r="I8" s="40">
        <v>1</v>
      </c>
      <c r="J8" s="24" t="s">
        <v>58</v>
      </c>
      <c r="K8" s="6">
        <v>3</v>
      </c>
      <c r="L8" s="55">
        <v>1.7000000000000002</v>
      </c>
      <c r="M8" s="55">
        <v>1.3</v>
      </c>
      <c r="N8" s="37">
        <v>5</v>
      </c>
      <c r="O8" s="55">
        <v>13.7</v>
      </c>
      <c r="P8" s="55">
        <v>1.05</v>
      </c>
      <c r="Q8" s="55">
        <v>0.8</v>
      </c>
      <c r="R8" s="49" t="s">
        <v>49</v>
      </c>
    </row>
    <row r="9" spans="1:358" s="25" customFormat="1" ht="30" customHeight="1" x14ac:dyDescent="0.15">
      <c r="A9" s="48">
        <v>7</v>
      </c>
      <c r="B9" s="54" t="s">
        <v>102</v>
      </c>
      <c r="C9" s="35" t="s">
        <v>81</v>
      </c>
      <c r="D9" s="52">
        <v>42901</v>
      </c>
      <c r="E9" s="32">
        <v>44959</v>
      </c>
      <c r="F9" s="32">
        <v>44960</v>
      </c>
      <c r="G9" s="32" t="s">
        <v>92</v>
      </c>
      <c r="H9" s="7" t="s">
        <v>36</v>
      </c>
      <c r="I9" s="40">
        <v>1</v>
      </c>
      <c r="J9" s="24" t="s">
        <v>59</v>
      </c>
      <c r="K9" s="6">
        <v>3</v>
      </c>
      <c r="L9" s="55">
        <v>1.2000000000000002</v>
      </c>
      <c r="M9" s="55">
        <v>0.75000000000000011</v>
      </c>
      <c r="N9" s="37">
        <v>7</v>
      </c>
      <c r="O9" s="55">
        <v>25</v>
      </c>
      <c r="P9" s="55">
        <v>0.8</v>
      </c>
      <c r="Q9" s="55">
        <v>0.25</v>
      </c>
      <c r="R9" s="49" t="s">
        <v>50</v>
      </c>
    </row>
    <row r="11" spans="1:358" x14ac:dyDescent="0.15">
      <c r="B11" s="5"/>
    </row>
    <row r="18" spans="15:15" x14ac:dyDescent="0.15">
      <c r="O18" s="66"/>
    </row>
    <row r="23" spans="15:15" x14ac:dyDescent="0.15">
      <c r="O23" s="66"/>
    </row>
    <row r="24" spans="15:15" x14ac:dyDescent="0.15">
      <c r="O24" s="66"/>
    </row>
  </sheetData>
  <sortState ref="A3:U27">
    <sortCondition ref="H3:H27" customList="Complete,On-hold,Active"/>
  </sortState>
  <customSheetViews>
    <customSheetView guid="{4229269A-8030-4BDC-8C87-610381BF8E3E}" scale="80" fitToPage="1" printArea="1" showRuler="0">
      <pane ySplit="1" topLeftCell="A22" activePane="bottomLeft" state="frozenSplit"/>
      <selection pane="bottomLeft" activeCell="R32" sqref="R32"/>
      <pageMargins left="0.32" right="0.28000000000000003" top="0.24" bottom="0.25" header="0.24" footer="0.16"/>
      <pageSetup scale="63" orientation="landscape" r:id="rId1"/>
      <headerFooter alignWithMargins="0">
        <oddFooter xml:space="preserve">&amp;R
</oddFooter>
      </headerFooter>
    </customSheetView>
    <customSheetView guid="{6C5872A7-C3CE-4EF2-AE25-CDA2F2F9A6CE}" scale="80" fitToPage="1" printArea="1" showRuler="0">
      <pane ySplit="1" topLeftCell="A2" activePane="bottomLeft" state="frozenSplit"/>
      <selection pane="bottomLeft" activeCell="F6" sqref="F6"/>
      <pageMargins left="0.32" right="0.28000000000000003" top="0.24" bottom="0.25" header="0.24" footer="0.16"/>
      <pageSetup scale="63" fitToHeight="2" orientation="landscape" r:id="rId2"/>
      <headerFooter alignWithMargins="0">
        <oddFooter xml:space="preserve">&amp;R
</oddFooter>
      </headerFooter>
    </customSheetView>
  </customSheetViews>
  <mergeCells count="2">
    <mergeCell ref="C1:H1"/>
    <mergeCell ref="J1:O1"/>
  </mergeCells>
  <phoneticPr fontId="4" type="noConversion"/>
  <conditionalFormatting sqref="M3:Q9">
    <cfRule type="cellIs" dxfId="10" priority="33" stopIfTrue="1" operator="equal">
      <formula>"No"</formula>
    </cfRule>
    <cfRule type="cellIs" dxfId="9" priority="34" stopIfTrue="1" operator="equal">
      <formula>"Yes"</formula>
    </cfRule>
  </conditionalFormatting>
  <conditionalFormatting sqref="J3:J9">
    <cfRule type="cellIs" dxfId="8" priority="37" stopIfTrue="1" operator="equal">
      <formula>"E"</formula>
    </cfRule>
    <cfRule type="cellIs" dxfId="7" priority="38" stopIfTrue="1" operator="equal">
      <formula>"I"</formula>
    </cfRule>
  </conditionalFormatting>
  <conditionalFormatting sqref="H3:H9">
    <cfRule type="cellIs" dxfId="6" priority="44" stopIfTrue="1" operator="equal">
      <formula>"Active"</formula>
    </cfRule>
    <cfRule type="cellIs" dxfId="5" priority="45" stopIfTrue="1" operator="equal">
      <formula>"On-hold"</formula>
    </cfRule>
    <cfRule type="cellIs" dxfId="4" priority="46" stopIfTrue="1" operator="equal">
      <formula>"Complete"</formula>
    </cfRule>
  </conditionalFormatting>
  <conditionalFormatting sqref="I3:I9">
    <cfRule type="colorScale" priority="47">
      <colorScale>
        <cfvo type="min"/>
        <cfvo type="max"/>
        <color rgb="FFFFEF9C"/>
        <color rgb="FFFF7128"/>
      </colorScale>
    </cfRule>
  </conditionalFormatting>
  <conditionalFormatting sqref="K3:K9">
    <cfRule type="colorScale" priority="48">
      <colorScale>
        <cfvo type="num" val="1"/>
        <cfvo type="max"/>
        <color rgb="FFC00000"/>
        <color rgb="FFFF9F9F"/>
      </colorScale>
    </cfRule>
  </conditionalFormatting>
  <conditionalFormatting sqref="L3:L9">
    <cfRule type="cellIs" dxfId="3" priority="1" stopIfTrue="1" operator="equal">
      <formula>"No"</formula>
    </cfRule>
    <cfRule type="cellIs" dxfId="2" priority="2" stopIfTrue="1" operator="equal">
      <formula>"Yes"</formula>
    </cfRule>
  </conditionalFormatting>
  <dataValidations count="1">
    <dataValidation type="list" allowBlank="1" showInputMessage="1" showErrorMessage="1" sqref="J3:J9">
      <formula1>"I,E"</formula1>
    </dataValidation>
  </dataValidations>
  <pageMargins left="0.44" right="0.16" top="0.38" bottom="0.19" header="0.24" footer="0.16"/>
  <pageSetup scale="65" orientation="landscape" r:id="rId3"/>
  <headerFooter alignWithMargins="0">
    <oddFooter xml:space="preserve">&amp;R
</oddFooter>
  </headerFooter>
  <drawing r:id="rId4"/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Entries!$B$4:$B$10</xm:f>
          </x14:formula1>
          <xm:sqref>C5:C9</xm:sqref>
        </x14:dataValidation>
        <x14:dataValidation type="list" allowBlank="1" showInputMessage="1" showErrorMessage="1">
          <x14:formula1>
            <xm:f>Entries!B37:B44</xm:f>
          </x14:formula1>
          <xm:sqref>G7</xm:sqref>
        </x14:dataValidation>
        <x14:dataValidation type="list" allowBlank="1" showInputMessage="1" showErrorMessage="1">
          <x14:formula1>
            <xm:f>Entries!B34:B40</xm:f>
          </x14:formula1>
          <xm:sqref>G3:G4</xm:sqref>
        </x14:dataValidation>
        <x14:dataValidation type="list" allowBlank="1" showInputMessage="1" showErrorMessage="1">
          <x14:formula1>
            <xm:f>Entries!B22:B24</xm:f>
          </x14:formula1>
          <xm:sqref>H3:H7</xm:sqref>
        </x14:dataValidation>
        <x14:dataValidation type="list" allowBlank="1" showInputMessage="1" showErrorMessage="1">
          <x14:formula1>
            <xm:f>Entries!B14:B18</xm:f>
          </x14:formula1>
          <xm:sqref>I3</xm:sqref>
        </x14:dataValidation>
        <x14:dataValidation type="list" allowBlank="1" showInputMessage="1" showErrorMessage="1">
          <x14:formula1>
            <xm:f>Entries!B28:B30</xm:f>
          </x14:formula1>
          <xm:sqref>K3</xm:sqref>
        </x14:dataValidation>
        <x14:dataValidation type="list" allowBlank="1" showInputMessage="1" showErrorMessage="1">
          <x14:formula1>
            <xm:f>Entries!B5:B10</xm:f>
          </x14:formula1>
          <xm:sqref>C4</xm:sqref>
        </x14:dataValidation>
        <x14:dataValidation type="list" allowBlank="1" showInputMessage="1" showErrorMessage="1">
          <x14:formula1>
            <xm:f>Entries!B4:B10</xm:f>
          </x14:formula1>
          <xm:sqref>C3</xm:sqref>
        </x14:dataValidation>
        <x14:dataValidation type="list" allowBlank="1" showInputMessage="1" showErrorMessage="1">
          <x14:formula1>
            <xm:f>Entries!B14:B18</xm:f>
          </x14:formula1>
          <xm:sqref>I9</xm:sqref>
        </x14:dataValidation>
        <x14:dataValidation type="list" allowBlank="1" showInputMessage="1" showErrorMessage="1">
          <x14:formula1>
            <xm:f>Entries!B14:B18</xm:f>
          </x14:formula1>
          <xm:sqref>I8</xm:sqref>
        </x14:dataValidation>
        <x14:dataValidation type="list" allowBlank="1" showInputMessage="1" showErrorMessage="1">
          <x14:formula1>
            <xm:f>Entries!B14:B18</xm:f>
          </x14:formula1>
          <xm:sqref>I7</xm:sqref>
        </x14:dataValidation>
        <x14:dataValidation type="list" allowBlank="1" showInputMessage="1" showErrorMessage="1">
          <x14:formula1>
            <xm:f>Entries!B14:B18</xm:f>
          </x14:formula1>
          <xm:sqref>I6</xm:sqref>
        </x14:dataValidation>
        <x14:dataValidation type="list" allowBlank="1" showInputMessage="1" showErrorMessage="1">
          <x14:formula1>
            <xm:f>Entries!B14:B18</xm:f>
          </x14:formula1>
          <xm:sqref>I5</xm:sqref>
        </x14:dataValidation>
        <x14:dataValidation type="list" allowBlank="1" showInputMessage="1" showErrorMessage="1">
          <x14:formula1>
            <xm:f>Entries!B14:B18</xm:f>
          </x14:formula1>
          <xm:sqref>I4</xm:sqref>
        </x14:dataValidation>
        <x14:dataValidation type="list" allowBlank="1" showInputMessage="1" showErrorMessage="1">
          <x14:formula1>
            <xm:f>Entries!B28:B30</xm:f>
          </x14:formula1>
          <xm:sqref>K4</xm:sqref>
        </x14:dataValidation>
        <x14:dataValidation type="list" allowBlank="1" showInputMessage="1" showErrorMessage="1">
          <x14:formula1>
            <xm:f>Entries!B28:B30</xm:f>
          </x14:formula1>
          <xm:sqref>K5</xm:sqref>
        </x14:dataValidation>
        <x14:dataValidation type="list" allowBlank="1" showInputMessage="1" showErrorMessage="1">
          <x14:formula1>
            <xm:f>Entries!B28:B30</xm:f>
          </x14:formula1>
          <xm:sqref>K6</xm:sqref>
        </x14:dataValidation>
        <x14:dataValidation type="list" allowBlank="1" showInputMessage="1" showErrorMessage="1">
          <x14:formula1>
            <xm:f>Entries!B28:B30</xm:f>
          </x14:formula1>
          <xm:sqref>K7</xm:sqref>
        </x14:dataValidation>
        <x14:dataValidation type="list" allowBlank="1" showInputMessage="1" showErrorMessage="1">
          <x14:formula1>
            <xm:f>Entries!B28:B30</xm:f>
          </x14:formula1>
          <xm:sqref>K8</xm:sqref>
        </x14:dataValidation>
        <x14:dataValidation type="list" allowBlank="1" showInputMessage="1" showErrorMessage="1">
          <x14:formula1>
            <xm:f>Entries!B28:B30</xm:f>
          </x14:formula1>
          <xm:sqref>K9</xm:sqref>
        </x14:dataValidation>
        <x14:dataValidation type="list" allowBlank="1" showInputMessage="1" showErrorMessage="1">
          <x14:formula1>
            <xm:f>Entries!B21:B23</xm:f>
          </x14:formula1>
          <xm:sqref>H8:H9</xm:sqref>
        </x14:dataValidation>
        <x14:dataValidation type="list" allowBlank="1" showInputMessage="1" showErrorMessage="1">
          <x14:formula1>
            <xm:f>Entries!B34:B40</xm:f>
          </x14:formula1>
          <xm:sqref>G5</xm:sqref>
        </x14:dataValidation>
        <x14:dataValidation type="list" allowBlank="1" showInputMessage="1" showErrorMessage="1">
          <x14:formula1>
            <xm:f>Entries!B34:B40</xm:f>
          </x14:formula1>
          <xm:sqref>G6</xm:sqref>
        </x14:dataValidation>
        <x14:dataValidation type="list" allowBlank="1" showInputMessage="1" showErrorMessage="1">
          <x14:formula1>
            <xm:f>Entries!B34:B40</xm:f>
          </x14:formula1>
          <xm:sqref>G9</xm:sqref>
        </x14:dataValidation>
        <x14:dataValidation type="list" allowBlank="1" showInputMessage="1" showErrorMessage="1">
          <x14:formula1>
            <xm:f>Entries!B34:B40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5"/>
  <sheetViews>
    <sheetView workbookViewId="0">
      <selection activeCell="O78" sqref="O78"/>
    </sheetView>
  </sheetViews>
  <sheetFormatPr baseColWidth="10" defaultRowHeight="13" x14ac:dyDescent="0.15"/>
  <cols>
    <col min="1" max="1" width="30.83203125" customWidth="1"/>
  </cols>
  <sheetData>
    <row r="1" spans="1:2" x14ac:dyDescent="0.15">
      <c r="A1" t="s">
        <v>95</v>
      </c>
    </row>
    <row r="2" spans="1:2" x14ac:dyDescent="0.15">
      <c r="A2" s="62" t="s">
        <v>60</v>
      </c>
      <c r="B2" s="62" t="s">
        <v>94</v>
      </c>
    </row>
    <row r="3" spans="1:2" x14ac:dyDescent="0.15">
      <c r="A3" t="s">
        <v>53</v>
      </c>
      <c r="B3">
        <v>2</v>
      </c>
    </row>
    <row r="4" spans="1:2" x14ac:dyDescent="0.15">
      <c r="A4" t="s">
        <v>89</v>
      </c>
      <c r="B4">
        <v>1</v>
      </c>
    </row>
    <row r="5" spans="1:2" x14ac:dyDescent="0.15">
      <c r="A5" t="s">
        <v>8</v>
      </c>
      <c r="B5">
        <v>1</v>
      </c>
    </row>
    <row r="6" spans="1:2" x14ac:dyDescent="0.15">
      <c r="A6" s="61" t="s">
        <v>92</v>
      </c>
      <c r="B6" s="61">
        <v>3</v>
      </c>
    </row>
    <row r="7" spans="1:2" x14ac:dyDescent="0.15">
      <c r="A7" t="s">
        <v>32</v>
      </c>
      <c r="B7">
        <f>SUM(B3:B6)</f>
        <v>7</v>
      </c>
    </row>
    <row r="10" spans="1:2" x14ac:dyDescent="0.15">
      <c r="A10" t="s">
        <v>104</v>
      </c>
    </row>
    <row r="11" spans="1:2" x14ac:dyDescent="0.15">
      <c r="A11" s="62" t="s">
        <v>60</v>
      </c>
      <c r="B11" s="62" t="s">
        <v>94</v>
      </c>
    </row>
    <row r="12" spans="1:2" x14ac:dyDescent="0.15">
      <c r="A12" t="s">
        <v>55</v>
      </c>
      <c r="B12">
        <v>2</v>
      </c>
    </row>
    <row r="13" spans="1:2" x14ac:dyDescent="0.15">
      <c r="A13" t="s">
        <v>56</v>
      </c>
      <c r="B13">
        <v>3</v>
      </c>
    </row>
    <row r="14" spans="1:2" x14ac:dyDescent="0.15">
      <c r="A14" s="61" t="s">
        <v>57</v>
      </c>
      <c r="B14" s="61">
        <v>2</v>
      </c>
    </row>
    <row r="18" spans="1:2" x14ac:dyDescent="0.15">
      <c r="A18" t="s">
        <v>61</v>
      </c>
    </row>
    <row r="19" spans="1:2" x14ac:dyDescent="0.15">
      <c r="A19" s="62" t="s">
        <v>60</v>
      </c>
      <c r="B19" s="62" t="s">
        <v>94</v>
      </c>
    </row>
    <row r="20" spans="1:2" x14ac:dyDescent="0.15">
      <c r="A20" t="s">
        <v>11</v>
      </c>
      <c r="B20">
        <v>5</v>
      </c>
    </row>
    <row r="21" spans="1:2" x14ac:dyDescent="0.15">
      <c r="A21" s="61" t="s">
        <v>105</v>
      </c>
      <c r="B21" s="61">
        <v>2</v>
      </c>
    </row>
    <row r="22" spans="1:2" x14ac:dyDescent="0.15">
      <c r="A22" s="3"/>
      <c r="B22" s="3"/>
    </row>
    <row r="24" spans="1:2" x14ac:dyDescent="0.15">
      <c r="A24" t="s">
        <v>62</v>
      </c>
    </row>
    <row r="25" spans="1:2" x14ac:dyDescent="0.15">
      <c r="A25" s="62" t="s">
        <v>60</v>
      </c>
      <c r="B25" s="62" t="s">
        <v>94</v>
      </c>
    </row>
    <row r="26" spans="1:2" x14ac:dyDescent="0.15">
      <c r="A26" s="53" t="s">
        <v>64</v>
      </c>
      <c r="B26">
        <v>1</v>
      </c>
    </row>
    <row r="27" spans="1:2" x14ac:dyDescent="0.15">
      <c r="A27" s="53" t="s">
        <v>67</v>
      </c>
      <c r="B27">
        <v>1</v>
      </c>
    </row>
    <row r="28" spans="1:2" x14ac:dyDescent="0.15">
      <c r="A28" s="53" t="s">
        <v>72</v>
      </c>
      <c r="B28">
        <v>1</v>
      </c>
    </row>
    <row r="29" spans="1:2" x14ac:dyDescent="0.15">
      <c r="A29" s="53" t="s">
        <v>73</v>
      </c>
      <c r="B29">
        <v>1</v>
      </c>
    </row>
    <row r="30" spans="1:2" x14ac:dyDescent="0.15">
      <c r="A30" s="53" t="s">
        <v>76</v>
      </c>
      <c r="B30">
        <v>1</v>
      </c>
    </row>
    <row r="31" spans="1:2" x14ac:dyDescent="0.15">
      <c r="A31" s="53" t="s">
        <v>81</v>
      </c>
      <c r="B31">
        <v>1</v>
      </c>
    </row>
    <row r="32" spans="1:2" x14ac:dyDescent="0.15">
      <c r="A32" s="63" t="s">
        <v>82</v>
      </c>
      <c r="B32" s="61">
        <v>1</v>
      </c>
    </row>
    <row r="35" spans="1:2" x14ac:dyDescent="0.15">
      <c r="A35" t="s">
        <v>63</v>
      </c>
    </row>
    <row r="36" spans="1:2" x14ac:dyDescent="0.15">
      <c r="A36" s="62" t="s">
        <v>60</v>
      </c>
      <c r="B36" s="62" t="s">
        <v>94</v>
      </c>
    </row>
    <row r="37" spans="1:2" x14ac:dyDescent="0.15">
      <c r="A37" s="53" t="s">
        <v>42</v>
      </c>
      <c r="B37">
        <v>3</v>
      </c>
    </row>
    <row r="38" spans="1:2" x14ac:dyDescent="0.15">
      <c r="A38" s="53" t="s">
        <v>43</v>
      </c>
      <c r="B38">
        <v>2</v>
      </c>
    </row>
    <row r="39" spans="1:2" x14ac:dyDescent="0.15">
      <c r="A39" t="s">
        <v>38</v>
      </c>
      <c r="B39">
        <v>1</v>
      </c>
    </row>
    <row r="40" spans="1:2" x14ac:dyDescent="0.15">
      <c r="A40" s="61" t="s">
        <v>40</v>
      </c>
      <c r="B40" s="61">
        <v>1</v>
      </c>
    </row>
    <row r="45" spans="1:2" x14ac:dyDescent="0.15">
      <c r="A45" t="s">
        <v>86</v>
      </c>
    </row>
    <row r="46" spans="1:2" x14ac:dyDescent="0.15">
      <c r="A46" s="65" t="s">
        <v>96</v>
      </c>
      <c r="B46">
        <v>1.5</v>
      </c>
    </row>
    <row r="47" spans="1:2" x14ac:dyDescent="0.15">
      <c r="A47" s="65" t="s">
        <v>97</v>
      </c>
      <c r="B47">
        <v>1.3</v>
      </c>
    </row>
    <row r="48" spans="1:2" x14ac:dyDescent="0.15">
      <c r="A48" s="65" t="s">
        <v>98</v>
      </c>
      <c r="B48">
        <v>1.4000000000000001</v>
      </c>
    </row>
    <row r="49" spans="1:2" x14ac:dyDescent="0.15">
      <c r="A49" s="65" t="s">
        <v>99</v>
      </c>
      <c r="B49">
        <v>1.2000000000000002</v>
      </c>
    </row>
    <row r="50" spans="1:2" x14ac:dyDescent="0.15">
      <c r="A50" s="65" t="s">
        <v>100</v>
      </c>
      <c r="B50">
        <v>1.4000000000000001</v>
      </c>
    </row>
    <row r="51" spans="1:2" x14ac:dyDescent="0.15">
      <c r="A51" s="65" t="s">
        <v>101</v>
      </c>
      <c r="B51">
        <v>1.7000000000000002</v>
      </c>
    </row>
    <row r="52" spans="1:2" x14ac:dyDescent="0.15">
      <c r="A52" s="65" t="s">
        <v>102</v>
      </c>
      <c r="B52">
        <v>1.2000000000000002</v>
      </c>
    </row>
    <row r="53" spans="1:2" x14ac:dyDescent="0.15">
      <c r="A53" s="64"/>
    </row>
    <row r="54" spans="1:2" x14ac:dyDescent="0.15">
      <c r="A54" s="64"/>
    </row>
    <row r="58" spans="1:2" x14ac:dyDescent="0.15">
      <c r="A58" t="s">
        <v>106</v>
      </c>
    </row>
    <row r="59" spans="1:2" x14ac:dyDescent="0.15">
      <c r="A59" s="67" t="s">
        <v>96</v>
      </c>
      <c r="B59" s="68">
        <v>1.6000000000000003</v>
      </c>
    </row>
    <row r="60" spans="1:2" x14ac:dyDescent="0.15">
      <c r="A60" s="69" t="s">
        <v>97</v>
      </c>
      <c r="B60" s="70">
        <v>2.2000000000000002</v>
      </c>
    </row>
    <row r="61" spans="1:2" x14ac:dyDescent="0.15">
      <c r="A61" s="69" t="s">
        <v>98</v>
      </c>
      <c r="B61" s="70">
        <v>1.3</v>
      </c>
    </row>
    <row r="62" spans="1:2" x14ac:dyDescent="0.15">
      <c r="A62" s="69" t="s">
        <v>99</v>
      </c>
      <c r="B62" s="70">
        <v>1.9500000000000002</v>
      </c>
    </row>
    <row r="63" spans="1:2" x14ac:dyDescent="0.15">
      <c r="A63" s="69" t="s">
        <v>100</v>
      </c>
      <c r="B63" s="70">
        <v>0.95000000000000007</v>
      </c>
    </row>
    <row r="64" spans="1:2" x14ac:dyDescent="0.15">
      <c r="A64" s="69" t="s">
        <v>101</v>
      </c>
      <c r="B64" s="70">
        <v>0.8</v>
      </c>
    </row>
    <row r="65" spans="1:2" x14ac:dyDescent="0.15">
      <c r="A65" s="71" t="s">
        <v>102</v>
      </c>
      <c r="B65" s="72">
        <v>0.25</v>
      </c>
    </row>
    <row r="69" spans="1:2" x14ac:dyDescent="0.15">
      <c r="A69" t="s">
        <v>107</v>
      </c>
    </row>
    <row r="70" spans="1:2" x14ac:dyDescent="0.15">
      <c r="A70" s="67" t="s">
        <v>96</v>
      </c>
      <c r="B70" s="68">
        <v>15.3</v>
      </c>
    </row>
    <row r="71" spans="1:2" x14ac:dyDescent="0.15">
      <c r="A71" s="69" t="s">
        <v>97</v>
      </c>
      <c r="B71" s="70">
        <v>5.0000000000000001E-4</v>
      </c>
    </row>
    <row r="72" spans="1:2" x14ac:dyDescent="0.15">
      <c r="A72" s="69" t="s">
        <v>98</v>
      </c>
      <c r="B72" s="70">
        <v>9.1999999999999993</v>
      </c>
    </row>
    <row r="73" spans="1:2" x14ac:dyDescent="0.15">
      <c r="A73" s="69" t="s">
        <v>99</v>
      </c>
      <c r="B73" s="70">
        <v>1.25E-3</v>
      </c>
    </row>
    <row r="74" spans="1:2" x14ac:dyDescent="0.15">
      <c r="A74" s="69" t="s">
        <v>100</v>
      </c>
      <c r="B74" s="70">
        <v>10</v>
      </c>
    </row>
    <row r="75" spans="1:2" x14ac:dyDescent="0.15">
      <c r="A75" s="69" t="s">
        <v>101</v>
      </c>
      <c r="B75" s="70">
        <v>13.7</v>
      </c>
    </row>
    <row r="76" spans="1:2" x14ac:dyDescent="0.15">
      <c r="A76" s="71" t="s">
        <v>102</v>
      </c>
      <c r="B76" s="72">
        <v>25</v>
      </c>
    </row>
    <row r="78" spans="1:2" x14ac:dyDescent="0.15">
      <c r="A78" t="s">
        <v>108</v>
      </c>
    </row>
    <row r="79" spans="1:2" x14ac:dyDescent="0.15">
      <c r="A79" s="67" t="s">
        <v>96</v>
      </c>
      <c r="B79" s="68">
        <v>5</v>
      </c>
    </row>
    <row r="80" spans="1:2" x14ac:dyDescent="0.15">
      <c r="A80" s="69" t="s">
        <v>97</v>
      </c>
      <c r="B80" s="70">
        <v>0.5</v>
      </c>
    </row>
    <row r="81" spans="1:2" x14ac:dyDescent="0.15">
      <c r="A81" s="69" t="s">
        <v>98</v>
      </c>
      <c r="B81" s="70">
        <v>1</v>
      </c>
    </row>
    <row r="82" spans="1:2" x14ac:dyDescent="0.15">
      <c r="A82" s="69" t="s">
        <v>99</v>
      </c>
      <c r="B82" s="70">
        <v>1</v>
      </c>
    </row>
    <row r="83" spans="1:2" x14ac:dyDescent="0.15">
      <c r="A83" s="69" t="s">
        <v>100</v>
      </c>
      <c r="B83" s="70">
        <v>3</v>
      </c>
    </row>
    <row r="84" spans="1:2" x14ac:dyDescent="0.15">
      <c r="A84" s="69" t="s">
        <v>101</v>
      </c>
      <c r="B84" s="70">
        <v>5</v>
      </c>
    </row>
    <row r="85" spans="1:2" x14ac:dyDescent="0.15">
      <c r="A85" s="71" t="s">
        <v>102</v>
      </c>
      <c r="B85" s="72">
        <v>7</v>
      </c>
    </row>
    <row r="88" spans="1:2" x14ac:dyDescent="0.15">
      <c r="A88" t="s">
        <v>109</v>
      </c>
    </row>
    <row r="89" spans="1:2" x14ac:dyDescent="0.15">
      <c r="A89" s="67" t="s">
        <v>96</v>
      </c>
      <c r="B89" s="68">
        <v>1.4500000000000002</v>
      </c>
    </row>
    <row r="90" spans="1:2" x14ac:dyDescent="0.15">
      <c r="A90" s="69" t="s">
        <v>97</v>
      </c>
      <c r="B90" s="70">
        <v>0.85000000000000009</v>
      </c>
    </row>
    <row r="91" spans="1:2" x14ac:dyDescent="0.15">
      <c r="A91" s="69" t="s">
        <v>98</v>
      </c>
      <c r="B91" s="70">
        <v>1.6</v>
      </c>
    </row>
    <row r="92" spans="1:2" x14ac:dyDescent="0.15">
      <c r="A92" s="69" t="s">
        <v>99</v>
      </c>
      <c r="B92" s="70">
        <v>0.85000000000000009</v>
      </c>
    </row>
    <row r="93" spans="1:2" x14ac:dyDescent="0.15">
      <c r="A93" s="69" t="s">
        <v>100</v>
      </c>
      <c r="B93" s="70">
        <v>1.3</v>
      </c>
    </row>
    <row r="94" spans="1:2" x14ac:dyDescent="0.15">
      <c r="A94" s="69" t="s">
        <v>101</v>
      </c>
      <c r="B94" s="70">
        <v>1.3</v>
      </c>
    </row>
    <row r="95" spans="1:2" x14ac:dyDescent="0.15">
      <c r="A95" s="71" t="s">
        <v>102</v>
      </c>
      <c r="B95" s="72">
        <v>0.75000000000000011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7"/>
  <sheetViews>
    <sheetView topLeftCell="A20" workbookViewId="0">
      <selection activeCell="F19" sqref="F19"/>
    </sheetView>
  </sheetViews>
  <sheetFormatPr baseColWidth="10" defaultColWidth="8.83203125" defaultRowHeight="13" x14ac:dyDescent="0.15"/>
  <cols>
    <col min="2" max="3" width="18.83203125" customWidth="1"/>
    <col min="6" max="6" width="8.83203125" customWidth="1"/>
    <col min="7" max="7" width="21.83203125" customWidth="1"/>
    <col min="8" max="8" width="18.33203125" customWidth="1"/>
    <col min="9" max="9" width="18.5" customWidth="1"/>
    <col min="10" max="10" width="17.5" customWidth="1"/>
  </cols>
  <sheetData>
    <row r="2" spans="2:4" x14ac:dyDescent="0.15">
      <c r="B2" s="8" t="s">
        <v>39</v>
      </c>
    </row>
    <row r="4" spans="2:4" x14ac:dyDescent="0.15">
      <c r="B4" s="53" t="s">
        <v>64</v>
      </c>
      <c r="C4" s="53" t="s">
        <v>65</v>
      </c>
      <c r="D4" s="53" t="s">
        <v>66</v>
      </c>
    </row>
    <row r="5" spans="2:4" x14ac:dyDescent="0.15">
      <c r="B5" s="53" t="s">
        <v>67</v>
      </c>
      <c r="C5" s="53" t="s">
        <v>68</v>
      </c>
      <c r="D5" s="53" t="s">
        <v>69</v>
      </c>
    </row>
    <row r="6" spans="2:4" x14ac:dyDescent="0.15">
      <c r="B6" s="53" t="s">
        <v>72</v>
      </c>
      <c r="C6" s="53" t="s">
        <v>70</v>
      </c>
      <c r="D6" s="33" t="s">
        <v>71</v>
      </c>
    </row>
    <row r="7" spans="2:4" x14ac:dyDescent="0.15">
      <c r="B7" s="53" t="s">
        <v>73</v>
      </c>
      <c r="C7" s="53" t="s">
        <v>74</v>
      </c>
      <c r="D7" s="53" t="s">
        <v>75</v>
      </c>
    </row>
    <row r="8" spans="2:4" x14ac:dyDescent="0.15">
      <c r="B8" s="53" t="s">
        <v>76</v>
      </c>
      <c r="C8" s="53" t="s">
        <v>77</v>
      </c>
      <c r="D8" s="33" t="s">
        <v>78</v>
      </c>
    </row>
    <row r="9" spans="2:4" x14ac:dyDescent="0.15">
      <c r="B9" s="53" t="s">
        <v>81</v>
      </c>
      <c r="C9" s="53" t="s">
        <v>79</v>
      </c>
      <c r="D9" s="33" t="s">
        <v>80</v>
      </c>
    </row>
    <row r="10" spans="2:4" x14ac:dyDescent="0.15">
      <c r="B10" s="53" t="s">
        <v>82</v>
      </c>
      <c r="C10" s="53" t="s">
        <v>83</v>
      </c>
      <c r="D10" s="53" t="s">
        <v>84</v>
      </c>
    </row>
    <row r="12" spans="2:4" x14ac:dyDescent="0.15">
      <c r="B12" s="8" t="s">
        <v>37</v>
      </c>
    </row>
    <row r="14" spans="2:4" x14ac:dyDescent="0.15">
      <c r="B14" s="39">
        <v>1</v>
      </c>
      <c r="C14" s="33" t="s">
        <v>42</v>
      </c>
    </row>
    <row r="15" spans="2:4" x14ac:dyDescent="0.15">
      <c r="B15" s="39">
        <v>2</v>
      </c>
      <c r="C15" s="33" t="s">
        <v>43</v>
      </c>
    </row>
    <row r="16" spans="2:4" x14ac:dyDescent="0.15">
      <c r="B16" s="39">
        <v>3</v>
      </c>
      <c r="C16" s="33" t="s">
        <v>38</v>
      </c>
    </row>
    <row r="17" spans="2:3" x14ac:dyDescent="0.15">
      <c r="B17" s="39">
        <v>4</v>
      </c>
      <c r="C17" s="33" t="s">
        <v>40</v>
      </c>
    </row>
    <row r="18" spans="2:3" x14ac:dyDescent="0.15">
      <c r="B18" s="39">
        <v>5</v>
      </c>
      <c r="C18" s="33" t="s">
        <v>41</v>
      </c>
    </row>
    <row r="20" spans="2:3" x14ac:dyDescent="0.15">
      <c r="B20" s="8" t="s">
        <v>2</v>
      </c>
    </row>
    <row r="22" spans="2:3" x14ac:dyDescent="0.15">
      <c r="B22" s="33" t="s">
        <v>3</v>
      </c>
    </row>
    <row r="23" spans="2:3" x14ac:dyDescent="0.15">
      <c r="B23" s="33" t="s">
        <v>36</v>
      </c>
    </row>
    <row r="24" spans="2:3" x14ac:dyDescent="0.15">
      <c r="B24" s="33" t="s">
        <v>11</v>
      </c>
    </row>
    <row r="26" spans="2:3" x14ac:dyDescent="0.15">
      <c r="B26" s="8" t="s">
        <v>4</v>
      </c>
    </row>
    <row r="28" spans="2:3" x14ac:dyDescent="0.15">
      <c r="B28" s="2">
        <v>1</v>
      </c>
      <c r="C28" s="33" t="s">
        <v>55</v>
      </c>
    </row>
    <row r="29" spans="2:3" x14ac:dyDescent="0.15">
      <c r="B29" s="2">
        <v>2</v>
      </c>
      <c r="C29" s="33" t="s">
        <v>56</v>
      </c>
    </row>
    <row r="30" spans="2:3" x14ac:dyDescent="0.15">
      <c r="B30" s="2">
        <v>3</v>
      </c>
      <c r="C30" s="33" t="s">
        <v>57</v>
      </c>
    </row>
    <row r="32" spans="2:3" x14ac:dyDescent="0.15">
      <c r="B32" s="8" t="s">
        <v>52</v>
      </c>
    </row>
    <row r="34" spans="2:10" x14ac:dyDescent="0.15">
      <c r="B34" t="s">
        <v>53</v>
      </c>
      <c r="C34" t="s">
        <v>87</v>
      </c>
    </row>
    <row r="35" spans="2:10" x14ac:dyDescent="0.15">
      <c r="B35" t="s">
        <v>89</v>
      </c>
      <c r="C35" t="s">
        <v>88</v>
      </c>
    </row>
    <row r="36" spans="2:10" x14ac:dyDescent="0.15">
      <c r="B36" t="s">
        <v>103</v>
      </c>
      <c r="C36" s="53" t="s">
        <v>91</v>
      </c>
    </row>
    <row r="37" spans="2:10" x14ac:dyDescent="0.15">
      <c r="B37" t="s">
        <v>92</v>
      </c>
      <c r="C37" s="53" t="s">
        <v>93</v>
      </c>
    </row>
    <row r="38" spans="2:10" x14ac:dyDescent="0.15">
      <c r="B38" t="s">
        <v>54</v>
      </c>
      <c r="C38" s="53" t="s">
        <v>54</v>
      </c>
    </row>
    <row r="39" spans="2:10" x14ac:dyDescent="0.15">
      <c r="B39" s="33"/>
      <c r="C39" s="33"/>
    </row>
    <row r="40" spans="2:10" x14ac:dyDescent="0.15">
      <c r="C40" s="33"/>
    </row>
    <row r="41" spans="2:10" x14ac:dyDescent="0.15">
      <c r="F41" s="8" t="s">
        <v>28</v>
      </c>
    </row>
    <row r="42" spans="2:10" ht="14" thickBot="1" x14ac:dyDescent="0.2">
      <c r="F42" s="8"/>
    </row>
    <row r="43" spans="2:10" ht="39" x14ac:dyDescent="0.15">
      <c r="F43" s="12" t="s">
        <v>6</v>
      </c>
      <c r="G43" s="13" t="s">
        <v>12</v>
      </c>
      <c r="H43" s="14" t="s">
        <v>13</v>
      </c>
      <c r="I43" s="19" t="s">
        <v>25</v>
      </c>
      <c r="J43" s="20" t="s">
        <v>27</v>
      </c>
    </row>
    <row r="44" spans="2:10" ht="52" x14ac:dyDescent="0.15">
      <c r="F44" s="15" t="s">
        <v>5</v>
      </c>
      <c r="G44" s="9" t="s">
        <v>23</v>
      </c>
      <c r="H44" s="10" t="s">
        <v>14</v>
      </c>
      <c r="I44" s="11" t="s">
        <v>15</v>
      </c>
      <c r="J44" s="22" t="s">
        <v>27</v>
      </c>
    </row>
    <row r="45" spans="2:10" ht="39" x14ac:dyDescent="0.15">
      <c r="F45" s="15" t="s">
        <v>7</v>
      </c>
      <c r="G45" s="9" t="s">
        <v>16</v>
      </c>
      <c r="H45" s="10" t="s">
        <v>17</v>
      </c>
      <c r="I45" s="11" t="s">
        <v>18</v>
      </c>
      <c r="J45" s="22" t="s">
        <v>27</v>
      </c>
    </row>
    <row r="46" spans="2:10" ht="39" x14ac:dyDescent="0.15">
      <c r="F46" s="15" t="s">
        <v>8</v>
      </c>
      <c r="G46" s="9" t="s">
        <v>19</v>
      </c>
      <c r="H46" s="10" t="s">
        <v>20</v>
      </c>
      <c r="I46" s="11" t="s">
        <v>21</v>
      </c>
      <c r="J46" s="22" t="s">
        <v>27</v>
      </c>
    </row>
    <row r="47" spans="2:10" ht="79" thickBot="1" x14ac:dyDescent="0.2">
      <c r="F47" s="16" t="s">
        <v>9</v>
      </c>
      <c r="G47" s="17" t="s">
        <v>24</v>
      </c>
      <c r="H47" s="18" t="s">
        <v>22</v>
      </c>
      <c r="I47" s="21" t="s">
        <v>26</v>
      </c>
      <c r="J47" s="23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Statistics</vt:lpstr>
      <vt:lpstr>Entries</vt:lpstr>
    </vt:vector>
  </TitlesOfParts>
  <Company>Airlift NW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Stlewis</dc:creator>
  <cp:lastModifiedBy>Microsoft Office User</cp:lastModifiedBy>
  <cp:lastPrinted>2009-04-23T17:14:36Z</cp:lastPrinted>
  <dcterms:created xsi:type="dcterms:W3CDTF">2006-05-26T04:24:02Z</dcterms:created>
  <dcterms:modified xsi:type="dcterms:W3CDTF">2017-05-09T00:59:28Z</dcterms:modified>
</cp:coreProperties>
</file>